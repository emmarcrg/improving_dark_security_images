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<sst xmlns="http://schemas.openxmlformats.org/spreadsheetml/2006/main" count="15" uniqueCount="15">
  <si>
    <t>Horodateur</t>
  </si>
  <si>
    <t>Picture 1</t>
  </si>
  <si>
    <t>Picture 2</t>
  </si>
  <si>
    <t>Picture 3</t>
  </si>
  <si>
    <t>Picture 4</t>
  </si>
  <si>
    <t>Picture 5</t>
  </si>
  <si>
    <t>Picture 6</t>
  </si>
  <si>
    <t>Picture 7</t>
  </si>
  <si>
    <t>Picture 8</t>
  </si>
  <si>
    <t>Picture 9</t>
  </si>
  <si>
    <t>Picture 10</t>
  </si>
  <si>
    <t>Picture 11</t>
  </si>
  <si>
    <t>Picture 12</t>
  </si>
  <si>
    <t>Mean original</t>
  </si>
  <si>
    <t xml:space="preserve">Mean adjusted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</si>
</sst>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CFE0"/>
        <bgColor rgb="FFD6CFE0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442F65"/>
      </right>
      <top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2" fillId="2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M9" displayName="Form_Responses" name="Form_Responses" id="1">
  <tableColumns count="13">
    <tableColumn name="Horodateur" id="1"/>
    <tableColumn totalsRowFunction="custom" name="Picture 1" id="2"/>
    <tableColumn totalsRowFunction="custom" name="Picture 2" id="3"/>
    <tableColumn totalsRowFunction="custom" name="Picture 3" id="4"/>
    <tableColumn totalsRowFunction="custom" name="Picture 4" id="5"/>
    <tableColumn totalsRowFunction="custom" name="Picture 5" id="6"/>
    <tableColumn totalsRowFunction="custom" name="Picture 6" id="7"/>
    <tableColumn totalsRowFunction="custom" name="Picture 7" id="8"/>
    <tableColumn totalsRowFunction="custom" name="Picture 8" id="9"/>
    <tableColumn totalsRowFunction="custom" name="Picture 9" id="10"/>
    <tableColumn totalsRowFunction="custom" name="Picture 10" id="11"/>
    <tableColumn totalsRowFunction="custom" name="Picture 11" id="12"/>
    <tableColumn totalsRowFunction="custom" name="Picture 12" id="13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45933.59681501157</v>
      </c>
      <c r="B2" s="5">
        <v>5.0</v>
      </c>
      <c r="C2" s="5">
        <v>4.0</v>
      </c>
      <c r="D2" s="5">
        <v>5.0</v>
      </c>
      <c r="E2" s="5">
        <v>5.0</v>
      </c>
      <c r="F2" s="5">
        <v>3.0</v>
      </c>
      <c r="G2" s="5">
        <v>4.0</v>
      </c>
      <c r="H2" s="5">
        <v>2.0</v>
      </c>
      <c r="I2" s="5">
        <v>1.0</v>
      </c>
      <c r="J2" s="5">
        <v>1.0</v>
      </c>
      <c r="K2" s="5">
        <v>5.0</v>
      </c>
      <c r="L2" s="5">
        <v>4.0</v>
      </c>
      <c r="M2" s="6">
        <v>4.0</v>
      </c>
    </row>
    <row r="3">
      <c r="A3" s="7">
        <v>45933.59738021991</v>
      </c>
      <c r="B3" s="8">
        <v>1.0</v>
      </c>
      <c r="C3" s="8">
        <v>1.0</v>
      </c>
      <c r="D3" s="8">
        <v>2.0</v>
      </c>
      <c r="E3" s="8">
        <v>2.0</v>
      </c>
      <c r="F3" s="8">
        <v>2.0</v>
      </c>
      <c r="G3" s="8">
        <v>1.0</v>
      </c>
      <c r="H3" s="8">
        <v>3.0</v>
      </c>
      <c r="I3" s="8">
        <v>3.0</v>
      </c>
      <c r="J3" s="8">
        <v>4.0</v>
      </c>
      <c r="K3" s="8">
        <v>5.0</v>
      </c>
      <c r="L3" s="8">
        <v>4.0</v>
      </c>
      <c r="M3" s="9">
        <v>4.0</v>
      </c>
    </row>
    <row r="4">
      <c r="A4" s="4">
        <v>45933.6076062963</v>
      </c>
      <c r="B4" s="5">
        <v>2.0</v>
      </c>
      <c r="C4" s="5">
        <v>1.0</v>
      </c>
      <c r="D4" s="5">
        <v>3.0</v>
      </c>
      <c r="E4" s="5">
        <v>4.0</v>
      </c>
      <c r="F4" s="5">
        <v>4.0</v>
      </c>
      <c r="G4" s="5">
        <v>4.0</v>
      </c>
      <c r="H4" s="5">
        <v>1.0</v>
      </c>
      <c r="I4" s="5">
        <v>1.0</v>
      </c>
      <c r="J4" s="5">
        <v>1.0</v>
      </c>
      <c r="K4" s="5">
        <v>1.0</v>
      </c>
      <c r="L4" s="5">
        <v>1.0</v>
      </c>
      <c r="M4" s="6">
        <v>1.0</v>
      </c>
    </row>
    <row r="5">
      <c r="A5" s="7">
        <v>45933.61326587963</v>
      </c>
      <c r="B5" s="8">
        <v>1.0</v>
      </c>
      <c r="C5" s="8">
        <v>1.0</v>
      </c>
      <c r="D5" s="8">
        <v>3.0</v>
      </c>
      <c r="E5" s="8">
        <v>3.0</v>
      </c>
      <c r="F5" s="8">
        <v>3.0</v>
      </c>
      <c r="G5" s="8">
        <v>3.0</v>
      </c>
      <c r="H5" s="8">
        <v>5.0</v>
      </c>
      <c r="I5" s="8">
        <v>1.0</v>
      </c>
      <c r="J5" s="8">
        <v>1.0</v>
      </c>
      <c r="K5" s="8">
        <v>4.0</v>
      </c>
      <c r="L5" s="8">
        <v>3.0</v>
      </c>
      <c r="M5" s="9">
        <v>3.0</v>
      </c>
    </row>
    <row r="6">
      <c r="A6" s="4">
        <v>45933.61719967592</v>
      </c>
      <c r="B6" s="5">
        <v>2.0</v>
      </c>
      <c r="C6" s="5">
        <v>1.0</v>
      </c>
      <c r="D6" s="5">
        <v>1.0</v>
      </c>
      <c r="E6" s="5">
        <v>1.0</v>
      </c>
      <c r="F6" s="5">
        <v>1.0</v>
      </c>
      <c r="G6" s="5">
        <v>2.0</v>
      </c>
      <c r="H6" s="5">
        <v>4.0</v>
      </c>
      <c r="I6" s="5">
        <v>3.0</v>
      </c>
      <c r="J6" s="5">
        <v>4.0</v>
      </c>
      <c r="K6" s="5">
        <v>4.0</v>
      </c>
      <c r="L6" s="5">
        <v>4.0</v>
      </c>
      <c r="M6" s="6">
        <v>4.0</v>
      </c>
    </row>
    <row r="7">
      <c r="A7" s="7">
        <v>45933.62014533565</v>
      </c>
      <c r="B7" s="8">
        <v>2.0</v>
      </c>
      <c r="C7" s="8">
        <v>1.0</v>
      </c>
      <c r="D7" s="8">
        <v>2.0</v>
      </c>
      <c r="E7" s="8">
        <v>3.0</v>
      </c>
      <c r="F7" s="8">
        <v>3.0</v>
      </c>
      <c r="G7" s="8">
        <v>3.0</v>
      </c>
      <c r="H7" s="8">
        <v>4.0</v>
      </c>
      <c r="I7" s="8">
        <v>4.0</v>
      </c>
      <c r="J7" s="8">
        <v>4.0</v>
      </c>
      <c r="K7" s="8">
        <v>4.0</v>
      </c>
      <c r="L7" s="8">
        <v>5.0</v>
      </c>
      <c r="M7" s="9">
        <v>5.0</v>
      </c>
    </row>
    <row r="8">
      <c r="A8" s="4">
        <v>45933.64006391204</v>
      </c>
      <c r="B8" s="5">
        <v>1.0</v>
      </c>
      <c r="C8" s="5">
        <v>1.0</v>
      </c>
      <c r="D8" s="5">
        <v>1.0</v>
      </c>
      <c r="E8" s="5">
        <v>1.0</v>
      </c>
      <c r="F8" s="5">
        <v>1.0</v>
      </c>
      <c r="G8" s="5">
        <v>1.0</v>
      </c>
      <c r="H8" s="5">
        <v>5.0</v>
      </c>
      <c r="I8" s="5">
        <v>2.0</v>
      </c>
      <c r="J8" s="5">
        <v>2.0</v>
      </c>
      <c r="K8" s="5">
        <v>5.0</v>
      </c>
      <c r="L8" s="5">
        <v>5.0</v>
      </c>
      <c r="M8" s="6">
        <v>4.0</v>
      </c>
    </row>
    <row r="9">
      <c r="A9" s="10"/>
      <c r="B9" s="11">
        <f>AVERAGE(Form_Responses[Picture 1])</f>
        <v>2</v>
      </c>
      <c r="C9" s="11">
        <f>AVERAGE(Form_Responses[Picture 2])</f>
        <v>1.428571429</v>
      </c>
      <c r="D9" s="11">
        <f>AVERAGE(Form_Responses[Picture 1])</f>
        <v>2</v>
      </c>
      <c r="E9" s="11">
        <f>AVERAGE(Form_Responses[Picture 4])</f>
        <v>2.714285714</v>
      </c>
      <c r="F9" s="11">
        <f>AVERAGE(Form_Responses[Picture 5])</f>
        <v>2.428571429</v>
      </c>
      <c r="G9" s="11">
        <f>AVERAGE(Form_Responses[Picture 6])</f>
        <v>2.571428571</v>
      </c>
      <c r="H9" s="11">
        <f>AVERAGE(Form_Responses[Picture 7])</f>
        <v>3.428571429</v>
      </c>
      <c r="I9" s="11">
        <f>AVERAGE(Form_Responses[Picture 8])</f>
        <v>2.142857143</v>
      </c>
      <c r="J9" s="11">
        <f>AVERAGE(Form_Responses[Picture 9])</f>
        <v>2.428571429</v>
      </c>
      <c r="K9" s="11">
        <f>AVERAGE(Form_Responses[Picture 10])</f>
        <v>4</v>
      </c>
      <c r="L9" s="11">
        <f>AVERAGE(Form_Responses[Picture 11])</f>
        <v>3.714285714</v>
      </c>
      <c r="M9" s="12">
        <f>AVERAGE(Form_Responses[Picture 12])</f>
        <v>3.571428571</v>
      </c>
    </row>
    <row r="11">
      <c r="A11" s="13" t="s">
        <v>13</v>
      </c>
      <c r="B11" s="14">
        <f>AVERAGE(Form_Responses[[#TOTALS],[Picture 1]:[Picture 6]])</f>
        <v>2.19047619</v>
      </c>
    </row>
    <row r="12">
      <c r="A12" s="13" t="s">
        <v>14</v>
      </c>
      <c r="B12" s="14">
        <f>AVERAGE(Form_Responses[[#TOTALS],[Picture 7]:[Picture 12]])</f>
        <v>3.214285714</v>
      </c>
    </row>
  </sheetData>
  <drawing r:id="rId1"/>
  <tableParts count="1">
    <tablePart r:id="rId3"/>
  </tableParts>
</worksheet>
</file>